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indings Register" sheetId="2" state="visible" r:id="rId4"/>
    <sheet name="Checklist" sheetId="3" state="visible" r:id="rId5"/>
    <sheet name="Severity Summary" sheetId="4" state="visible" r:id="rId6"/>
  </sheets>
  <definedNames>
    <definedName function="false" hidden="true" localSheetId="2" name="_xlnm._FilterDatabase" vbProcedure="false">Checklist!$A$1:$H$1</definedName>
    <definedName function="false" hidden="true" localSheetId="1" name="_xlnm._FilterDatabase" vbProcedure="false">'Findings Register'!$A$1:$P$1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<sst xmlns="http://schemas.openxmlformats.org/spreadsheetml/2006/main" count="463" uniqueCount="281">
  <si>
    <t xml:space="preserve">HyperProbe — Source Code Security Audit</t>
  </si>
  <si>
    <t xml:space="preserve">Findings Register &amp; Control Checklist Tracker</t>
  </si>
  <si>
    <t xml:space="preserve">Client / Product</t>
  </si>
  <si>
    <t xml:space="preserve">HyperProbe (prodprobe monorepo)</t>
  </si>
  <si>
    <t xml:space="preserve">Prepared for</t>
  </si>
  <si>
    <t xml:space="preserve">Tinycrows</t>
  </si>
  <si>
    <t xml:space="preserve">Report date</t>
  </si>
  <si>
    <t xml:space="preserve">25-09-2026</t>
  </si>
  <si>
    <t xml:space="preserve">Audit type</t>
  </si>
  <si>
    <t xml:space="preserve">Independent secure source code review (static + local PoC)</t>
  </si>
  <si>
    <t xml:space="preserve">Scoring</t>
  </si>
  <si>
    <t xml:space="preserve">CVSS v3.1</t>
  </si>
  <si>
    <t xml:space="preserve">Standards</t>
  </si>
  <si>
    <t xml:space="preserve">OWASP Top 10:2025, ASVS 5.0, API Top 10, CWE Top 25 (2025), CERT-In, ISO 27001:2022, NIST SSDF, OWASP LLM/MCP</t>
  </si>
  <si>
    <t xml:space="preserve">Sheets</t>
  </si>
  <si>
    <t xml:space="preserve">Findings Register · Checklist · Severity Summary</t>
  </si>
  <si>
    <t xml:space="preserve">How to use: Claude Code writes one Markdown finding file per issue and exports audit/findings-register.csv. Paste/import that CSV into the 'Findings Register' sheet (matching columns). Work the 'Checklist' sheet as the review proceeds. The 'Severity Summary' sheet counts automatically.</t>
  </si>
  <si>
    <t xml:space="preserve">ID</t>
  </si>
  <si>
    <t xml:space="preserve">Title</t>
  </si>
  <si>
    <t xml:space="preserve">Category</t>
  </si>
  <si>
    <t xml:space="preserve">Severity</t>
  </si>
  <si>
    <t xml:space="preserve">CVSS Score</t>
  </si>
  <si>
    <t xml:space="preserve">CVSS Vector</t>
  </si>
  <si>
    <t xml:space="preserve">CWE</t>
  </si>
  <si>
    <t xml:space="preserve">OWASP</t>
  </si>
  <si>
    <t xml:space="preserve">ASVS</t>
  </si>
  <si>
    <t xml:space="preserve">Component</t>
  </si>
  <si>
    <t xml:space="preserve">File</t>
  </si>
  <si>
    <t xml:space="preserve">Line</t>
  </si>
  <si>
    <t xml:space="preserve">Status</t>
  </si>
  <si>
    <t xml:space="preserve">Confidence</t>
  </si>
  <si>
    <t xml:space="preserve">Remediation Owner</t>
  </si>
  <si>
    <t xml:space="preserve">Fix Status</t>
  </si>
  <si>
    <t xml:space="preserve">SEC-001</t>
  </si>
  <si>
    <t xml:space="preserve">(example) Unauthenticated gRPC broker exposes cross-tenant probes</t>
  </si>
  <si>
    <t xml:space="preserve">01-security</t>
  </si>
  <si>
    <t xml:space="preserve">High</t>
  </si>
  <si>
    <t xml:space="preserve">CVSS:3.1/AV:N/AC:L/PR:N/UI:N/S:U/C:H/I:L/A:N</t>
  </si>
  <si>
    <t xml:space="preserve">CWE-306</t>
  </si>
  <si>
    <t xml:space="preserve">A07:2025</t>
  </si>
  <si>
    <t xml:space="preserve">V6</t>
  </si>
  <si>
    <t xml:space="preserve">logger</t>
  </si>
  <si>
    <t xml:space="preserve">apps/logger/src/index.ts</t>
  </si>
  <si>
    <t xml:space="preserve">Confirmed</t>
  </si>
  <si>
    <t xml:space="preserve">Open</t>
  </si>
  <si>
    <t xml:space="preserve">Ref</t>
  </si>
  <si>
    <t xml:space="preserve">Domain</t>
  </si>
  <si>
    <t xml:space="preserve">Check</t>
  </si>
  <si>
    <t xml:space="preserve">Where to look</t>
  </si>
  <si>
    <t xml:space="preserve">Standard mapping</t>
  </si>
  <si>
    <t xml:space="preserve">Evidence (file:line)</t>
  </si>
  <si>
    <t xml:space="preserve">Finding ID</t>
  </si>
  <si>
    <t xml:space="preserve">A</t>
  </si>
  <si>
    <t xml:space="preserve">Access control &amp; multi-tenancy</t>
  </si>
  <si>
    <t xml:space="preserve">A1 Every tRPC procedure has the correct auth wrapper</t>
  </si>
  <si>
    <t xml:space="preserve">trpc.ts + all routers</t>
  </si>
  <si>
    <t xml:space="preserve">OWASP A01/API5/ASVS V8/CWE-862</t>
  </si>
  <si>
    <t xml:space="preserve">Not started</t>
  </si>
  <si>
    <t xml:space="preserve">A2 serviceId-scoped middleware not bypassable via rawInput</t>
  </si>
  <si>
    <t xml:space="preserve">trpc.ts hasServiceLead/MemberAccess</t>
  </si>
  <si>
    <t xml:space="preserve">A01/API1/CWE-639</t>
  </si>
  <si>
    <t xml:space="preserve">A3 Object loads by id enforce ownership/tenancy</t>
  </si>
  <si>
    <t xml:space="preserve">probes/services/rca/observability routers</t>
  </si>
  <si>
    <t xml:space="preserve">A01/API1/CWE-639/284</t>
  </si>
  <si>
    <t xml:space="preserve">A4 listSnapshots/Logs/Probes filter by permitted services</t>
  </si>
  <si>
    <t xml:space="preserve">probesRouter.ts</t>
  </si>
  <si>
    <t xml:space="preserve">A01/API1/CWE-200</t>
  </si>
  <si>
    <t xml:space="preserve">A5 Admin-only mutations truly require admin</t>
  </si>
  <si>
    <t xml:space="preserve">users/teams/services routers</t>
  </si>
  <si>
    <t xml:space="preserve">A01/API5/CWE-862</t>
  </si>
  <si>
    <t xml:space="preserve">A6 No mass assignment of role/isAdmin/permissions</t>
  </si>
  <si>
    <t xml:space="preserve">create/update Zod schemas</t>
  </si>
  <si>
    <t xml:space="preserve">A01/CWE-915</t>
  </si>
  <si>
    <t xml:space="preserve">A7 Public procedures leak nothing sensitive</t>
  </si>
  <si>
    <t xml:space="preserve">authRouter/probesRouter/usersRouter</t>
  </si>
  <si>
    <t xml:space="preserve">A01/API1</t>
  </si>
  <si>
    <t xml:space="preserve">A8 login:&lt;identifier&gt; handoff not hijackable</t>
  </si>
  <si>
    <t xml:space="preserve">authRouter.ts</t>
  </si>
  <si>
    <t xml:space="preserve">A07/CWE-384/639</t>
  </si>
  <si>
    <t xml:space="preserve">B</t>
  </si>
  <si>
    <t xml:space="preserve">Authentication/session/JWT</t>
  </si>
  <si>
    <t xml:space="preserve">B1 Token secret sourcing &amp; strength</t>
  </si>
  <si>
    <t xml:space="preserve">index.ts/tokenSecret.ts</t>
  </si>
  <si>
    <t xml:space="preserve">A07/ASVS V9/CWE-330</t>
  </si>
  <si>
    <t xml:space="preserve">B2 JWT alg pinned; refresh bound to sessionSecret</t>
  </si>
  <si>
    <t xml:space="preserve">authRouter/index.ts</t>
  </si>
  <si>
    <t xml:space="preserve">A07/CWE-347</t>
  </si>
  <si>
    <t xml:space="preserve">B3 verifySso design + e2e bypass can't run in prod</t>
  </si>
  <si>
    <t xml:space="preserve">authRouter.ts/decryptSsoToken.ts</t>
  </si>
  <si>
    <t xml:space="preserve">A07/CWE-287/294</t>
  </si>
  <si>
    <t xml:space="preserve">B4 First-user-admin not attacker-triggerable</t>
  </si>
  <si>
    <t xml:space="preserve">authRouter.ts verifySso</t>
  </si>
  <si>
    <t xml:space="preserve">A07/CWE-306</t>
  </si>
  <si>
    <t xml:space="preserve">B5 Token lifetimes &amp; revocation semantics</t>
  </si>
  <si>
    <t xml:space="preserve">authRouter</t>
  </si>
  <si>
    <t xml:space="preserve">A07/ASVS V7</t>
  </si>
  <si>
    <t xml:space="preserve">B6 Dashboard localStorage token XSS blast radius</t>
  </si>
  <si>
    <t xml:space="preserve">dashboard useAuth.ts</t>
  </si>
  <si>
    <t xml:space="preserve">A07/CWE-522</t>
  </si>
  <si>
    <t xml:space="preserve">C</t>
  </si>
  <si>
    <t xml:space="preserve">gRPC broker &amp; agent channel</t>
  </si>
  <si>
    <t xml:space="preserve">C1 gRPC server authentication (createInsecure)</t>
  </si>
  <si>
    <t xml:space="preserve">logger/src/index.ts</t>
  </si>
  <si>
    <t xml:space="preserve">A02/A07/CWE-306/319</t>
  </si>
  <si>
    <t xml:space="preserve">C2 GetProbes authZ vs forged serviceId/agentId</t>
  </si>
  <si>
    <t xml:space="preserve">logger GetProbes</t>
  </si>
  <si>
    <t xml:space="preserve">A01/CWE-862</t>
  </si>
  <si>
    <t xml:space="preserve">C3 ReportTelemetry content trust / forgery</t>
  </si>
  <si>
    <t xml:space="preserve">logger + consumer</t>
  </si>
  <si>
    <t xml:space="preserve">A08/CWE-345</t>
  </si>
  <si>
    <t xml:space="preserve">C4 Source-map upload caps &amp; filename handling</t>
  </si>
  <si>
    <t xml:space="preserve">logger UploadSourceMap</t>
  </si>
  <si>
    <t xml:space="preserve">A10/CWE-409/22</t>
  </si>
  <si>
    <t xml:space="preserve">C5 Transport confidentiality agent&lt;-&gt;broker</t>
  </si>
  <si>
    <t xml:space="preserve">infra + logger</t>
  </si>
  <si>
    <t xml:space="preserve">A02/CWE-319</t>
  </si>
  <si>
    <t xml:space="preserve">D</t>
  </si>
  <si>
    <t xml:space="preserve">Probe expression evaluation</t>
  </si>
  <si>
    <t xml:space="preserve">D1 Python ast allowlist blocks escapes</t>
  </si>
  <si>
    <t xml:space="preserve">python-sdk evaluator.py</t>
  </si>
  <si>
    <t xml:space="preserve">A05/CWE-94/95</t>
  </si>
  <si>
    <t xml:space="preserve">D2 Node throwOnSideEffect not defeatable</t>
  </si>
  <si>
    <t xml:space="preserve">node-sdk inspector.ts</t>
  </si>
  <si>
    <t xml:space="preserve">A05/CWE-94</t>
  </si>
  <si>
    <t xml:space="preserve">D3 Java MVEL SafeASTValidator holds</t>
  </si>
  <si>
    <t xml:space="preserve">java-sdk hyperprobe-evaluator</t>
  </si>
  <si>
    <t xml:space="preserve">D4 Ruby ast validator blocks system/send</t>
  </si>
  <si>
    <t xml:space="preserve">ruby-sdk evaluator.rb</t>
  </si>
  <si>
    <t xml:space="preserve">D5 Unsafe toggle not server-flippable; off by default</t>
  </si>
  <si>
    <t xml:space="preserve">all SDKs + broker config</t>
  </si>
  <si>
    <t xml:space="preserve">A05/A06/CWE-94/1188</t>
  </si>
  <si>
    <t xml:space="preserve">D6 Evaluation parity across all four SDKs</t>
  </si>
  <si>
    <t xml:space="preserve">all SDKs</t>
  </si>
  <si>
    <t xml:space="preserve">A06/CWE-1188</t>
  </si>
  <si>
    <t xml:space="preserve">D7 Log-template eval as safe as condition eval</t>
  </si>
  <si>
    <t xml:space="preserve">evaluators</t>
  </si>
  <si>
    <t xml:space="preserve">E</t>
  </si>
  <si>
    <t xml:space="preserve">Injection &amp; sinks (server)</t>
  </si>
  <si>
    <t xml:space="preserve">E1 No raw SQL / interpolated $queryRaw</t>
  </si>
  <si>
    <t xml:space="preserve">backend routers, database</t>
  </si>
  <si>
    <t xml:space="preserve">A05/CWE-89</t>
  </si>
  <si>
    <t xml:space="preserve">E2 Redis Lua eval takes no untrusted script</t>
  </si>
  <si>
    <t xml:space="preserve">requestCoordinator.ts</t>
  </si>
  <si>
    <t xml:space="preserve">E3 child_process/execFile args not tainted</t>
  </si>
  <si>
    <t xml:space="preserve">mcp-server, vsc-extension</t>
  </si>
  <si>
    <t xml:space="preserve">A05/CWE-78</t>
  </si>
  <si>
    <t xml:space="preserve">E4 Regex not ReDoS-prone on untrusted input</t>
  </si>
  <si>
    <t xml:space="preserve">sentry filters, redaction</t>
  </si>
  <si>
    <t xml:space="preserve">A10/CWE-1333</t>
  </si>
  <si>
    <t xml:space="preserve">E5 JSON/superjson no prototype pollution/type confusion</t>
  </si>
  <si>
    <t xml:space="preserve">trpc transformer, consumer</t>
  </si>
  <si>
    <t xml:space="preserve">A08/CWE-1321</t>
  </si>
  <si>
    <t xml:space="preserve">F</t>
  </si>
  <si>
    <t xml:space="preserve">SSRF &amp; outbound</t>
  </si>
  <si>
    <t xml:space="preserve">F1 Sentry apiBaseUrl allowlist enforced, no redirect bypass</t>
  </si>
  <si>
    <t xml:space="preserve">sentryExploreClient/adapter</t>
  </si>
  <si>
    <t xml:space="preserve">A05/API7/CWE-918</t>
  </si>
  <si>
    <t xml:space="preserve">F2 Other provider URLs validated equally</t>
  </si>
  <si>
    <t xml:space="preserve">observabilityIntegrationsRouter</t>
  </si>
  <si>
    <t xml:space="preserve">API7/CWE-918</t>
  </si>
  <si>
    <t xml:space="preserve">G</t>
  </si>
  <si>
    <t xml:space="preserve">Crypto, secrets &amp; config</t>
  </si>
  <si>
    <t xml:space="preserve">G1 No hardcoded live secrets/keys committed</t>
  </si>
  <si>
    <t xml:space="preserve">infra/*, .env-hp, compose, .htpasswd</t>
  </si>
  <si>
    <t xml:space="preserve">A02/CWE-798</t>
  </si>
  <si>
    <t xml:space="preserve">G2 License JWT verify: ES256, ignoreExpiration, key trust</t>
  </si>
  <si>
    <t xml:space="preserve">LicenseManager/backend license</t>
  </si>
  <si>
    <t xml:space="preserve">A02/A08/CWE-347</t>
  </si>
  <si>
    <t xml:space="preserve">G3 Credential cipher KDF/IV/mode/rotation</t>
  </si>
  <si>
    <t xml:space="preserve">credentialCipher.ts/keyring.ts</t>
  </si>
  <si>
    <t xml:space="preserve">A02/ASVS V11/CWE-326/327</t>
  </si>
  <si>
    <t xml:space="preserve">G4 Cryptographic RNG for tokens/identifiers</t>
  </si>
  <si>
    <t xml:space="preserve">authRouter, agents</t>
  </si>
  <si>
    <t xml:space="preserve">A02/CWE-338</t>
  </si>
  <si>
    <t xml:space="preserve">G5 Consul 0.0.0.0 / Traefik api.insecure / KV secrets</t>
  </si>
  <si>
    <t xml:space="preserve">infra/prod compose, dynamic.yml</t>
  </si>
  <si>
    <t xml:space="preserve">A02/CWE-16/668</t>
  </si>
  <si>
    <t xml:space="preserve">G6 CORS origin:true + credentials:true blast radius</t>
  </si>
  <si>
    <t xml:space="preserve">backend index.ts</t>
  </si>
  <si>
    <t xml:space="preserve">A02/CWE-942</t>
  </si>
  <si>
    <t xml:space="preserve">H</t>
  </si>
  <si>
    <t xml:space="preserve">Captured-data privacy</t>
  </si>
  <si>
    <t xml:space="preserve">H1 Redaction actually blocks secrets/PII</t>
  </si>
  <si>
    <t xml:space="preserve">redaction.ts, SDK RedactionFilter</t>
  </si>
  <si>
    <t xml:space="preserve">A09/CWE-201/312</t>
  </si>
  <si>
    <t xml:space="preserve">H2 Snapshot size/depth caps before storage</t>
  </si>
  <si>
    <t xml:space="preserve">SDK serializers, ObjectGraphLimiter</t>
  </si>
  <si>
    <t xml:space="preserve">CWE-770</t>
  </si>
  <si>
    <t xml:space="preserve">H3 Snapshots/logs not visible cross-tenant</t>
  </si>
  <si>
    <t xml:space="preserve">probesRouter, DB</t>
  </si>
  <si>
    <t xml:space="preserve">A01/CWE-200</t>
  </si>
  <si>
    <t xml:space="preserve">H4 Debug SQL param logging not persisted in prod</t>
  </si>
  <si>
    <t xml:space="preserve">A09/CWE-532</t>
  </si>
  <si>
    <t xml:space="preserve">H5 Trace-id/APM capture not over-collecting</t>
  </si>
  <si>
    <t xml:space="preserve">SDK apm extractors</t>
  </si>
  <si>
    <t xml:space="preserve">CWE-200</t>
  </si>
  <si>
    <t xml:space="preserve">I</t>
  </si>
  <si>
    <t xml:space="preserve">AI / MCP-specific</t>
  </si>
  <si>
    <t xml:space="preserve">I1 Captured values can't inject into AI agent</t>
  </si>
  <si>
    <t xml:space="preserve">mcp-server index.ts</t>
  </si>
  <si>
    <t xml:space="preserve">LLM01/MCP03,10/CWE-77</t>
  </si>
  <si>
    <t xml:space="preserve">I2 MCP token handling &amp; scope/least-privilege</t>
  </si>
  <si>
    <t xml:space="preserve">mcp-server auth.ts</t>
  </si>
  <si>
    <t xml:space="preserve">MCP01,07/CWE-522</t>
  </si>
  <si>
    <t xml:space="preserve">I3 Tool descriptions/server identity not poisonable</t>
  </si>
  <si>
    <t xml:space="preserve">mcp-server skills.ts/index</t>
  </si>
  <si>
    <t xml:space="preserve">MCP03/CWE-829</t>
  </si>
  <si>
    <t xml:space="preserve">I4 Data feeding agent is redacted; over-sharing bounded</t>
  </si>
  <si>
    <t xml:space="preserve">mcp-server + backend</t>
  </si>
  <si>
    <t xml:space="preserve">MCP10/LLM06</t>
  </si>
  <si>
    <t xml:space="preserve">I5 MCP execSync/execFile context not influenceable</t>
  </si>
  <si>
    <t xml:space="preserve">skills.ts, service-config.ts</t>
  </si>
  <si>
    <t xml:space="preserve">MCP05/CWE-78</t>
  </si>
  <si>
    <t xml:space="preserve">J</t>
  </si>
  <si>
    <t xml:space="preserve">Reliability / DoS (host-safety)</t>
  </si>
  <si>
    <t xml:space="preserve">J1 Serialization caps prevent OOM/hang in prod</t>
  </si>
  <si>
    <t xml:space="preserve">SDK serializers, safety monitors</t>
  </si>
  <si>
    <t xml:space="preserve">A10/CWE-770/674</t>
  </si>
  <si>
    <t xml:space="preserve">J2 Inspector/instrumentation can't pause/deadlock prod</t>
  </si>
  <si>
    <t xml:space="preserve">node inspector, java instrumentation</t>
  </si>
  <si>
    <t xml:space="preserve">CWE-833</t>
  </si>
  <si>
    <t xml:space="preserve">J3 Quota/rate limiting on capture</t>
  </si>
  <si>
    <t xml:space="preserve">SDK quota, redis counters</t>
  </si>
  <si>
    <t xml:space="preserve">API4/CWE-770</t>
  </si>
  <si>
    <t xml:space="preserve">J4 Broker/consumer queues bounded; NATS 64MB handled</t>
  </si>
  <si>
    <t xml:space="preserve">logger, logger-consumer</t>
  </si>
  <si>
    <t xml:space="preserve">A10/CWE-770</t>
  </si>
  <si>
    <t xml:space="preserve">J5 Expression eval timeouts; no host wedge</t>
  </si>
  <si>
    <t xml:space="preserve">CWE-1333/834</t>
  </si>
  <si>
    <t xml:space="preserve">K</t>
  </si>
  <si>
    <t xml:space="preserve">Supply chain, deps &amp; CI</t>
  </si>
  <si>
    <t xml:space="preserve">K1 Dependency CVEs mapped (npm/pip/maven/gem)</t>
  </si>
  <si>
    <t xml:space="preserve">all lockfiles/manifests</t>
  </si>
  <si>
    <t xml:space="preserve">A03/CWE-1395</t>
  </si>
  <si>
    <t xml:space="preserve">K2 Dependency confusion on @hyperprobe/*</t>
  </si>
  <si>
    <t xml:space="preserve">'.npmrc.example', package.json</t>
  </si>
  <si>
    <t xml:space="preserve">A03/CWE-427</t>
  </si>
  <si>
    <t xml:space="preserve">K3 Install/build hooks reviewed before running</t>
  </si>
  <si>
    <t xml:space="preserve">build.sh, .husky, publish scripts</t>
  </si>
  <si>
    <t xml:space="preserve">A08/CWE-829</t>
  </si>
  <si>
    <t xml:space="preserve">K4 GitHub Actions pinning/PR-trigger/runner/secrets</t>
  </si>
  <si>
    <t xml:space="preserve">'.github/workflows/*'</t>
  </si>
  <si>
    <t xml:space="preserve">A08/CWE-829/94</t>
  </si>
  <si>
    <t xml:space="preserve">K5 Dockerfile hygiene &amp; IaC misconfig</t>
  </si>
  <si>
    <t xml:space="preserve">Dockerfile, compose</t>
  </si>
  <si>
    <t xml:space="preserve">A02/CWE-250/16</t>
  </si>
  <si>
    <t xml:space="preserve">L</t>
  </si>
  <si>
    <t xml:space="preserve">Error handling, logging &amp; quality</t>
  </si>
  <si>
    <t xml:space="preserve">L1 Auth/license/redaction fallbacks fail closed</t>
  </si>
  <si>
    <t xml:space="preserve">throughout</t>
  </si>
  <si>
    <t xml:space="preserve">A10/CWE-703/755</t>
  </si>
  <si>
    <t xml:space="preserve">L2 No swallowed exceptions masking security failure</t>
  </si>
  <si>
    <t xml:space="preserve">try/catch sites</t>
  </si>
  <si>
    <t xml:space="preserve">CWE-390</t>
  </si>
  <si>
    <t xml:space="preserve">L3 Races/TOCTOU on counters &amp; license locks</t>
  </si>
  <si>
    <t xml:space="preserve">routers, cron, redis multi</t>
  </si>
  <si>
    <t xml:space="preserve">CWE-362</t>
  </si>
  <si>
    <t xml:space="preserve">L4 Weak typing (any/as any) at trust boundaries</t>
  </si>
  <si>
    <t xml:space="preserve">createContext, keyring, rawInput casts</t>
  </si>
  <si>
    <t xml:space="preserve">CWE-704</t>
  </si>
  <si>
    <t xml:space="preserve">L5 Security tests assert the guard, not happy path</t>
  </si>
  <si>
    <t xml:space="preserve">*.test.ts, spec/, e2e</t>
  </si>
  <si>
    <t xml:space="preserve">A09/NIST SSDF PW.7/8</t>
  </si>
  <si>
    <t xml:space="preserve">L6 Logging sufficient &amp; leaks no secrets</t>
  </si>
  <si>
    <t xml:space="preserve">logger, backend</t>
  </si>
  <si>
    <t xml:space="preserve">A09/ASVS V16</t>
  </si>
  <si>
    <t xml:space="preserve">Findings by Severity</t>
  </si>
  <si>
    <t xml:space="preserve">Count</t>
  </si>
  <si>
    <t xml:space="preserve">Critical</t>
  </si>
  <si>
    <t xml:space="preserve">Medium</t>
  </si>
  <si>
    <t xml:space="preserve">Low</t>
  </si>
  <si>
    <t xml:space="preserve">Info</t>
  </si>
  <si>
    <t xml:space="preserve">Total</t>
  </si>
  <si>
    <t xml:space="preserve">Findings by Category</t>
  </si>
  <si>
    <t xml:space="preserve">02-ai-mcp</t>
  </si>
  <si>
    <t xml:space="preserve">03-functional-bugs</t>
  </si>
  <si>
    <t xml:space="preserve">04-reliability-dos</t>
  </si>
  <si>
    <t xml:space="preserve">05-privacy-data</t>
  </si>
  <si>
    <t xml:space="preserve">06-supplychain-infra</t>
  </si>
  <si>
    <t xml:space="preserve">07-code-quality</t>
  </si>
  <si>
    <t xml:space="preserve">Note: the example row on 'Findings Register' is illustrative only — delete it before importing real findings, or counts will include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</si>
</sst>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sz val="13"/>
      <color rgb="FF2E5AAC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2E86C1"/>
        <bgColor rgb="FF008080"/>
      </patternFill>
    </fill>
    <fill>
      <patternFill patternType="solid">
        <fgColor rgb="FF7F8C8D"/>
        <bgColor rgb="FF77777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DD6"/>
      </left>
      <right style="thin">
        <color rgb="FFC7CDD6"/>
      </right>
      <top style="thin">
        <color rgb="FFC7CDD6"/>
      </top>
      <bottom style="thin">
        <color rgb="FFC7C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67E2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1C40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E86C1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F8C8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DD6"/>
      <rgbColor rgb="FF777777"/>
      <rgbColor rgb="FF9999FF"/>
      <rgbColor rgb="FF993366"/>
      <rgbColor rgb="FFF2F2F2"/>
      <rgbColor rgb="FFCCFFFF"/>
      <rgbColor rgb="FF660066"/>
      <rgbColor rgb="FFFF8080"/>
      <rgbColor rgb="FF2E5AA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1C40F"/>
      <rgbColor rgb="FFFF9900"/>
      <rgbColor rgb="FFE67E22"/>
      <rgbColor rgb="FF555555"/>
      <rgbColor rgb="FF7F8C8D"/>
      <rgbColor rgb="FF003366"/>
      <rgbColor rgb="FF339966"/>
      <rgbColor rgb="FF003300"/>
      <rgbColor rgb="FF333300"/>
      <rgbColor rgb="FFC039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90"/>
  </cols>
  <sheetData>
    <row r="2" customFormat="false" ht="24.4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26.8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  <row r="14" customFormat="false" ht="15" hidden="false" customHeight="true" outlineLevel="0" collapsed="false">
      <c r="B14" s="5" t="s">
        <v>16</v>
      </c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B17" s="5"/>
      <c r="C17" s="5"/>
      <c r="D17" s="5"/>
      <c r="E17" s="5"/>
      <c r="F17" s="5"/>
      <c r="G17" s="5"/>
      <c r="H17" s="5"/>
    </row>
  </sheetData>
  <mergeCells count="1">
    <mergeCell ref="B14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30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0"/>
  </cols>
  <sheetData>
    <row r="1" customFormat="false" ht="25.5" hidden="false" customHeight="tru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</row>
    <row r="2" customFormat="false" ht="23.85" hidden="false" customHeight="false" outlineLevel="0" collapsed="false">
      <c r="A2" s="7" t="s">
        <v>33</v>
      </c>
      <c r="B2" s="7" t="s">
        <v>34</v>
      </c>
      <c r="C2" s="7" t="s">
        <v>35</v>
      </c>
      <c r="D2" s="7" t="s">
        <v>36</v>
      </c>
      <c r="E2" s="7" t="n">
        <v>8.1</v>
      </c>
      <c r="F2" s="7" t="s">
        <v>37</v>
      </c>
      <c r="G2" s="7" t="s">
        <v>38</v>
      </c>
      <c r="H2" s="7" t="s">
        <v>39</v>
      </c>
      <c r="I2" s="7" t="s">
        <v>40</v>
      </c>
      <c r="J2" s="7" t="s">
        <v>41</v>
      </c>
      <c r="K2" s="7" t="s">
        <v>42</v>
      </c>
      <c r="L2" s="7" t="n">
        <v>1034</v>
      </c>
      <c r="M2" s="7" t="s">
        <v>43</v>
      </c>
      <c r="N2" s="7" t="n">
        <v>0.6</v>
      </c>
      <c r="O2" s="7"/>
      <c r="P2" s="7" t="s">
        <v>44</v>
      </c>
    </row>
  </sheetData>
  <autoFilter ref="A1:P1"/>
  <conditionalFormatting sqref="D2:D500">
    <cfRule type="cellIs" priority="2" operator="equal" aboveAverage="0" equalAverage="0" bottom="0" percent="0" rank="0" text="" dxfId="2">
      <formula>"Critical"</formula>
    </cfRule>
    <cfRule type="cellIs" priority="3" operator="equal" aboveAverage="0" equalAverage="0" bottom="0" percent="0" rank="0" text="" dxfId="3">
      <formula>"High"</formula>
    </cfRule>
    <cfRule type="cellIs" priority="4" operator="equal" aboveAverage="0" equalAverage="0" bottom="0" percent="0" rank="0" text="" dxfId="4">
      <formula>"Medium"</formula>
    </cfRule>
    <cfRule type="cellIs" priority="5" operator="equal" aboveAverage="0" equalAverage="0" bottom="0" percent="0" rank="0" text="" dxfId="5">
      <formula>"Low"</formula>
    </cfRule>
    <cfRule type="cellIs" priority="6" operator="equal" aboveAverage="0" equalAverage="0" bottom="0" percent="0" rank="0" text="" dxfId="6">
      <formula>"Info"</formula>
    </cfRule>
  </conditionalFormatting>
  <dataValidations count="4">
    <dataValidation allowBlank="true" errorStyle="stop" operator="between" showDropDown="false" showErrorMessage="false" showInputMessage="false" sqref="D2:D500" type="list">
      <formula1>"Critical,High,Medium,Low,Info"</formula1>
      <formula2>0</formula2>
    </dataValidation>
    <dataValidation allowBlank="true" errorStyle="stop" operator="between" showDropDown="false" showErrorMessage="false" showInputMessage="false" sqref="C2:C500" type="list">
      <formula1>"01-security,02-ai-mcp,03-functional-bugs,04-reliability-dos,05-privacy-data,06-supplychain-infra,07-code-quality"</formula1>
      <formula2>0</formula2>
    </dataValidation>
    <dataValidation allowBlank="true" errorStyle="stop" operator="between" showDropDown="false" showErrorMessage="false" showInputMessage="false" sqref="M2:M500" type="list">
      <formula1>"Confirmed,Hypothetical,False-Positive"</formula1>
      <formula2>0</formula2>
    </dataValidation>
    <dataValidation allowBlank="true" errorStyle="stop" operator="between" showDropDown="false" showErrorMessage="false" showInputMessage="false" sqref="P2:P500" type="list">
      <formula1>"Open,In Progress,Fixed,Accepted Risk,Wont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29</v>
      </c>
      <c r="G1" s="6" t="s">
        <v>50</v>
      </c>
      <c r="H1" s="6" t="s">
        <v>51</v>
      </c>
    </row>
    <row r="2" customFormat="false" ht="23.85" hidden="false" customHeight="false" outlineLevel="0" collapsed="false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s">
        <v>57</v>
      </c>
      <c r="G2" s="8"/>
      <c r="H2" s="8"/>
    </row>
    <row r="3" customFormat="false" ht="15" hidden="false" customHeight="false" outlineLevel="0" collapsed="false">
      <c r="A3" s="9" t="s">
        <v>52</v>
      </c>
      <c r="B3" s="9" t="s">
        <v>53</v>
      </c>
      <c r="C3" s="9" t="s">
        <v>58</v>
      </c>
      <c r="D3" s="9" t="s">
        <v>59</v>
      </c>
      <c r="E3" s="9" t="s">
        <v>60</v>
      </c>
      <c r="F3" s="9" t="s">
        <v>57</v>
      </c>
      <c r="G3" s="9"/>
      <c r="H3" s="9"/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61</v>
      </c>
      <c r="D4" s="8" t="s">
        <v>62</v>
      </c>
      <c r="E4" s="8" t="s">
        <v>63</v>
      </c>
      <c r="F4" s="8" t="s">
        <v>57</v>
      </c>
      <c r="G4" s="8"/>
      <c r="H4" s="8"/>
    </row>
    <row r="5" customFormat="false" ht="15" hidden="false" customHeight="false" outlineLevel="0" collapsed="false">
      <c r="A5" s="9" t="s">
        <v>52</v>
      </c>
      <c r="B5" s="9" t="s">
        <v>53</v>
      </c>
      <c r="C5" s="9" t="s">
        <v>64</v>
      </c>
      <c r="D5" s="9" t="s">
        <v>65</v>
      </c>
      <c r="E5" s="9" t="s">
        <v>66</v>
      </c>
      <c r="F5" s="9" t="s">
        <v>57</v>
      </c>
      <c r="G5" s="9"/>
      <c r="H5" s="9"/>
    </row>
    <row r="6" customFormat="false" ht="15" hidden="false" customHeight="false" outlineLevel="0" collapsed="false">
      <c r="A6" s="8" t="s">
        <v>52</v>
      </c>
      <c r="B6" s="8" t="s">
        <v>53</v>
      </c>
      <c r="C6" s="8" t="s">
        <v>67</v>
      </c>
      <c r="D6" s="8" t="s">
        <v>68</v>
      </c>
      <c r="E6" s="8" t="s">
        <v>69</v>
      </c>
      <c r="F6" s="8" t="s">
        <v>57</v>
      </c>
      <c r="G6" s="8"/>
      <c r="H6" s="8"/>
    </row>
    <row r="7" customFormat="false" ht="15" hidden="false" customHeight="false" outlineLevel="0" collapsed="false">
      <c r="A7" s="9" t="s">
        <v>52</v>
      </c>
      <c r="B7" s="9" t="s">
        <v>53</v>
      </c>
      <c r="C7" s="9" t="s">
        <v>70</v>
      </c>
      <c r="D7" s="9" t="s">
        <v>71</v>
      </c>
      <c r="E7" s="9" t="s">
        <v>72</v>
      </c>
      <c r="F7" s="9" t="s">
        <v>57</v>
      </c>
      <c r="G7" s="9"/>
      <c r="H7" s="9"/>
    </row>
    <row r="8" customFormat="false" ht="15" hidden="false" customHeight="false" outlineLevel="0" collapsed="false">
      <c r="A8" s="8" t="s">
        <v>52</v>
      </c>
      <c r="B8" s="8" t="s">
        <v>53</v>
      </c>
      <c r="C8" s="8" t="s">
        <v>73</v>
      </c>
      <c r="D8" s="8" t="s">
        <v>74</v>
      </c>
      <c r="E8" s="8" t="s">
        <v>75</v>
      </c>
      <c r="F8" s="8" t="s">
        <v>57</v>
      </c>
      <c r="G8" s="8"/>
      <c r="H8" s="8"/>
    </row>
    <row r="9" customFormat="false" ht="15" hidden="false" customHeight="false" outlineLevel="0" collapsed="false">
      <c r="A9" s="9" t="s">
        <v>52</v>
      </c>
      <c r="B9" s="9" t="s">
        <v>53</v>
      </c>
      <c r="C9" s="9" t="s">
        <v>76</v>
      </c>
      <c r="D9" s="9" t="s">
        <v>77</v>
      </c>
      <c r="E9" s="9" t="s">
        <v>78</v>
      </c>
      <c r="F9" s="9" t="s">
        <v>57</v>
      </c>
      <c r="G9" s="9"/>
      <c r="H9" s="9"/>
    </row>
    <row r="10" customFormat="false" ht="15" hidden="false" customHeight="false" outlineLevel="0" collapsed="false">
      <c r="A10" s="8" t="s">
        <v>79</v>
      </c>
      <c r="B10" s="8" t="s">
        <v>80</v>
      </c>
      <c r="C10" s="8" t="s">
        <v>81</v>
      </c>
      <c r="D10" s="8" t="s">
        <v>82</v>
      </c>
      <c r="E10" s="8" t="s">
        <v>83</v>
      </c>
      <c r="F10" s="8" t="s">
        <v>57</v>
      </c>
      <c r="G10" s="8"/>
      <c r="H10" s="8"/>
    </row>
    <row r="11" customFormat="false" ht="15" hidden="false" customHeight="false" outlineLevel="0" collapsed="false">
      <c r="A11" s="9" t="s">
        <v>79</v>
      </c>
      <c r="B11" s="9" t="s">
        <v>80</v>
      </c>
      <c r="C11" s="9" t="s">
        <v>84</v>
      </c>
      <c r="D11" s="9" t="s">
        <v>85</v>
      </c>
      <c r="E11" s="9" t="s">
        <v>86</v>
      </c>
      <c r="F11" s="9" t="s">
        <v>57</v>
      </c>
      <c r="G11" s="9"/>
      <c r="H11" s="9"/>
    </row>
    <row r="12" customFormat="false" ht="15" hidden="false" customHeight="false" outlineLevel="0" collapsed="false">
      <c r="A12" s="8" t="s">
        <v>79</v>
      </c>
      <c r="B12" s="8" t="s">
        <v>80</v>
      </c>
      <c r="C12" s="8" t="s">
        <v>87</v>
      </c>
      <c r="D12" s="8" t="s">
        <v>88</v>
      </c>
      <c r="E12" s="8" t="s">
        <v>89</v>
      </c>
      <c r="F12" s="8" t="s">
        <v>57</v>
      </c>
      <c r="G12" s="8"/>
      <c r="H12" s="8"/>
    </row>
    <row r="13" customFormat="false" ht="15" hidden="false" customHeight="false" outlineLevel="0" collapsed="false">
      <c r="A13" s="9" t="s">
        <v>79</v>
      </c>
      <c r="B13" s="9" t="s">
        <v>80</v>
      </c>
      <c r="C13" s="9" t="s">
        <v>90</v>
      </c>
      <c r="D13" s="9" t="s">
        <v>91</v>
      </c>
      <c r="E13" s="9" t="s">
        <v>92</v>
      </c>
      <c r="F13" s="9" t="s">
        <v>57</v>
      </c>
      <c r="G13" s="9"/>
      <c r="H13" s="9"/>
    </row>
    <row r="14" customFormat="false" ht="15" hidden="false" customHeight="false" outlineLevel="0" collapsed="false">
      <c r="A14" s="8" t="s">
        <v>79</v>
      </c>
      <c r="B14" s="8" t="s">
        <v>80</v>
      </c>
      <c r="C14" s="8" t="s">
        <v>93</v>
      </c>
      <c r="D14" s="8" t="s">
        <v>94</v>
      </c>
      <c r="E14" s="8" t="s">
        <v>95</v>
      </c>
      <c r="F14" s="8" t="s">
        <v>57</v>
      </c>
      <c r="G14" s="8"/>
      <c r="H14" s="8"/>
    </row>
    <row r="15" customFormat="false" ht="15" hidden="false" customHeight="false" outlineLevel="0" collapsed="false">
      <c r="A15" s="9" t="s">
        <v>79</v>
      </c>
      <c r="B15" s="9" t="s">
        <v>80</v>
      </c>
      <c r="C15" s="9" t="s">
        <v>96</v>
      </c>
      <c r="D15" s="9" t="s">
        <v>97</v>
      </c>
      <c r="E15" s="9" t="s">
        <v>98</v>
      </c>
      <c r="F15" s="9" t="s">
        <v>57</v>
      </c>
      <c r="G15" s="9"/>
      <c r="H15" s="9"/>
    </row>
    <row r="16" customFormat="false" ht="15" hidden="false" customHeight="false" outlineLevel="0" collapsed="false">
      <c r="A16" s="8" t="s">
        <v>99</v>
      </c>
      <c r="B16" s="8" t="s">
        <v>100</v>
      </c>
      <c r="C16" s="8" t="s">
        <v>101</v>
      </c>
      <c r="D16" s="8" t="s">
        <v>102</v>
      </c>
      <c r="E16" s="8" t="s">
        <v>103</v>
      </c>
      <c r="F16" s="8" t="s">
        <v>57</v>
      </c>
      <c r="G16" s="8"/>
      <c r="H16" s="8"/>
    </row>
    <row r="17" customFormat="false" ht="15" hidden="false" customHeight="false" outlineLevel="0" collapsed="false">
      <c r="A17" s="9" t="s">
        <v>99</v>
      </c>
      <c r="B17" s="9" t="s">
        <v>100</v>
      </c>
      <c r="C17" s="9" t="s">
        <v>104</v>
      </c>
      <c r="D17" s="9" t="s">
        <v>105</v>
      </c>
      <c r="E17" s="9" t="s">
        <v>106</v>
      </c>
      <c r="F17" s="9" t="s">
        <v>57</v>
      </c>
      <c r="G17" s="9"/>
      <c r="H17" s="9"/>
    </row>
    <row r="18" customFormat="false" ht="15" hidden="false" customHeight="false" outlineLevel="0" collapsed="false">
      <c r="A18" s="8" t="s">
        <v>99</v>
      </c>
      <c r="B18" s="8" t="s">
        <v>100</v>
      </c>
      <c r="C18" s="8" t="s">
        <v>107</v>
      </c>
      <c r="D18" s="8" t="s">
        <v>108</v>
      </c>
      <c r="E18" s="8" t="s">
        <v>109</v>
      </c>
      <c r="F18" s="8" t="s">
        <v>57</v>
      </c>
      <c r="G18" s="8"/>
      <c r="H18" s="8"/>
    </row>
    <row r="19" customFormat="false" ht="15" hidden="false" customHeight="false" outlineLevel="0" collapsed="false">
      <c r="A19" s="9" t="s">
        <v>99</v>
      </c>
      <c r="B19" s="9" t="s">
        <v>100</v>
      </c>
      <c r="C19" s="9" t="s">
        <v>110</v>
      </c>
      <c r="D19" s="9" t="s">
        <v>111</v>
      </c>
      <c r="E19" s="9" t="s">
        <v>112</v>
      </c>
      <c r="F19" s="9" t="s">
        <v>57</v>
      </c>
      <c r="G19" s="9"/>
      <c r="H19" s="9"/>
    </row>
    <row r="20" customFormat="false" ht="15" hidden="false" customHeight="false" outlineLevel="0" collapsed="false">
      <c r="A20" s="8" t="s">
        <v>99</v>
      </c>
      <c r="B20" s="8" t="s">
        <v>100</v>
      </c>
      <c r="C20" s="8" t="s">
        <v>113</v>
      </c>
      <c r="D20" s="8" t="s">
        <v>114</v>
      </c>
      <c r="E20" s="8" t="s">
        <v>115</v>
      </c>
      <c r="F20" s="8" t="s">
        <v>57</v>
      </c>
      <c r="G20" s="8"/>
      <c r="H20" s="8"/>
    </row>
    <row r="21" customFormat="false" ht="15" hidden="false" customHeight="false" outlineLevel="0" collapsed="false">
      <c r="A21" s="9" t="s">
        <v>116</v>
      </c>
      <c r="B21" s="9" t="s">
        <v>117</v>
      </c>
      <c r="C21" s="9" t="s">
        <v>118</v>
      </c>
      <c r="D21" s="9" t="s">
        <v>119</v>
      </c>
      <c r="E21" s="9" t="s">
        <v>120</v>
      </c>
      <c r="F21" s="9" t="s">
        <v>57</v>
      </c>
      <c r="G21" s="9"/>
      <c r="H21" s="9"/>
    </row>
    <row r="22" customFormat="false" ht="15" hidden="false" customHeight="false" outlineLevel="0" collapsed="false">
      <c r="A22" s="8" t="s">
        <v>116</v>
      </c>
      <c r="B22" s="8" t="s">
        <v>117</v>
      </c>
      <c r="C22" s="8" t="s">
        <v>121</v>
      </c>
      <c r="D22" s="8" t="s">
        <v>122</v>
      </c>
      <c r="E22" s="8" t="s">
        <v>123</v>
      </c>
      <c r="F22" s="8" t="s">
        <v>57</v>
      </c>
      <c r="G22" s="8"/>
      <c r="H22" s="8"/>
    </row>
    <row r="23" customFormat="false" ht="15" hidden="false" customHeight="false" outlineLevel="0" collapsed="false">
      <c r="A23" s="9" t="s">
        <v>116</v>
      </c>
      <c r="B23" s="9" t="s">
        <v>117</v>
      </c>
      <c r="C23" s="9" t="s">
        <v>124</v>
      </c>
      <c r="D23" s="9" t="s">
        <v>125</v>
      </c>
      <c r="E23" s="9" t="s">
        <v>123</v>
      </c>
      <c r="F23" s="9" t="s">
        <v>57</v>
      </c>
      <c r="G23" s="9"/>
      <c r="H23" s="9"/>
    </row>
    <row r="24" customFormat="false" ht="15" hidden="false" customHeight="false" outlineLevel="0" collapsed="false">
      <c r="A24" s="8" t="s">
        <v>116</v>
      </c>
      <c r="B24" s="8" t="s">
        <v>117</v>
      </c>
      <c r="C24" s="8" t="s">
        <v>126</v>
      </c>
      <c r="D24" s="8" t="s">
        <v>127</v>
      </c>
      <c r="E24" s="8" t="s">
        <v>123</v>
      </c>
      <c r="F24" s="8" t="s">
        <v>57</v>
      </c>
      <c r="G24" s="8"/>
      <c r="H24" s="8"/>
    </row>
    <row r="25" customFormat="false" ht="15" hidden="false" customHeight="false" outlineLevel="0" collapsed="false">
      <c r="A25" s="9" t="s">
        <v>116</v>
      </c>
      <c r="B25" s="9" t="s">
        <v>117</v>
      </c>
      <c r="C25" s="9" t="s">
        <v>128</v>
      </c>
      <c r="D25" s="9" t="s">
        <v>129</v>
      </c>
      <c r="E25" s="9" t="s">
        <v>130</v>
      </c>
      <c r="F25" s="9" t="s">
        <v>57</v>
      </c>
      <c r="G25" s="9"/>
      <c r="H25" s="9"/>
    </row>
    <row r="26" customFormat="false" ht="15" hidden="false" customHeight="false" outlineLevel="0" collapsed="false">
      <c r="A26" s="8" t="s">
        <v>116</v>
      </c>
      <c r="B26" s="8" t="s">
        <v>117</v>
      </c>
      <c r="C26" s="8" t="s">
        <v>131</v>
      </c>
      <c r="D26" s="8" t="s">
        <v>132</v>
      </c>
      <c r="E26" s="8" t="s">
        <v>133</v>
      </c>
      <c r="F26" s="8" t="s">
        <v>57</v>
      </c>
      <c r="G26" s="8"/>
      <c r="H26" s="8"/>
    </row>
    <row r="27" customFormat="false" ht="15" hidden="false" customHeight="false" outlineLevel="0" collapsed="false">
      <c r="A27" s="9" t="s">
        <v>116</v>
      </c>
      <c r="B27" s="9" t="s">
        <v>117</v>
      </c>
      <c r="C27" s="9" t="s">
        <v>134</v>
      </c>
      <c r="D27" s="9" t="s">
        <v>135</v>
      </c>
      <c r="E27" s="9" t="s">
        <v>123</v>
      </c>
      <c r="F27" s="9" t="s">
        <v>57</v>
      </c>
      <c r="G27" s="9"/>
      <c r="H27" s="9"/>
    </row>
    <row r="28" customFormat="false" ht="15" hidden="false" customHeight="false" outlineLevel="0" collapsed="false">
      <c r="A28" s="8" t="s">
        <v>136</v>
      </c>
      <c r="B28" s="8" t="s">
        <v>137</v>
      </c>
      <c r="C28" s="8" t="s">
        <v>138</v>
      </c>
      <c r="D28" s="8" t="s">
        <v>139</v>
      </c>
      <c r="E28" s="8" t="s">
        <v>140</v>
      </c>
      <c r="F28" s="8" t="s">
        <v>57</v>
      </c>
      <c r="G28" s="8"/>
      <c r="H28" s="8"/>
    </row>
    <row r="29" customFormat="false" ht="15" hidden="false" customHeight="false" outlineLevel="0" collapsed="false">
      <c r="A29" s="9" t="s">
        <v>136</v>
      </c>
      <c r="B29" s="9" t="s">
        <v>137</v>
      </c>
      <c r="C29" s="9" t="s">
        <v>141</v>
      </c>
      <c r="D29" s="9" t="s">
        <v>142</v>
      </c>
      <c r="E29" s="9" t="s">
        <v>123</v>
      </c>
      <c r="F29" s="9" t="s">
        <v>57</v>
      </c>
      <c r="G29" s="9"/>
      <c r="H29" s="9"/>
    </row>
    <row r="30" customFormat="false" ht="15" hidden="false" customHeight="false" outlineLevel="0" collapsed="false">
      <c r="A30" s="8" t="s">
        <v>136</v>
      </c>
      <c r="B30" s="8" t="s">
        <v>137</v>
      </c>
      <c r="C30" s="8" t="s">
        <v>143</v>
      </c>
      <c r="D30" s="8" t="s">
        <v>144</v>
      </c>
      <c r="E30" s="8" t="s">
        <v>145</v>
      </c>
      <c r="F30" s="8" t="s">
        <v>57</v>
      </c>
      <c r="G30" s="8"/>
      <c r="H30" s="8"/>
    </row>
    <row r="31" customFormat="false" ht="15" hidden="false" customHeight="false" outlineLevel="0" collapsed="false">
      <c r="A31" s="9" t="s">
        <v>136</v>
      </c>
      <c r="B31" s="9" t="s">
        <v>137</v>
      </c>
      <c r="C31" s="9" t="s">
        <v>146</v>
      </c>
      <c r="D31" s="9" t="s">
        <v>147</v>
      </c>
      <c r="E31" s="9" t="s">
        <v>148</v>
      </c>
      <c r="F31" s="9" t="s">
        <v>57</v>
      </c>
      <c r="G31" s="9"/>
      <c r="H31" s="9"/>
    </row>
    <row r="32" customFormat="false" ht="15" hidden="false" customHeight="false" outlineLevel="0" collapsed="false">
      <c r="A32" s="8" t="s">
        <v>136</v>
      </c>
      <c r="B32" s="8" t="s">
        <v>137</v>
      </c>
      <c r="C32" s="8" t="s">
        <v>149</v>
      </c>
      <c r="D32" s="8" t="s">
        <v>150</v>
      </c>
      <c r="E32" s="8" t="s">
        <v>151</v>
      </c>
      <c r="F32" s="8" t="s">
        <v>57</v>
      </c>
      <c r="G32" s="8"/>
      <c r="H32" s="8"/>
    </row>
    <row r="33" customFormat="false" ht="15" hidden="false" customHeight="false" outlineLevel="0" collapsed="false">
      <c r="A33" s="9" t="s">
        <v>152</v>
      </c>
      <c r="B33" s="9" t="s">
        <v>153</v>
      </c>
      <c r="C33" s="9" t="s">
        <v>154</v>
      </c>
      <c r="D33" s="9" t="s">
        <v>155</v>
      </c>
      <c r="E33" s="9" t="s">
        <v>156</v>
      </c>
      <c r="F33" s="9" t="s">
        <v>57</v>
      </c>
      <c r="G33" s="9"/>
      <c r="H33" s="9"/>
    </row>
    <row r="34" customFormat="false" ht="15" hidden="false" customHeight="false" outlineLevel="0" collapsed="false">
      <c r="A34" s="8" t="s">
        <v>152</v>
      </c>
      <c r="B34" s="8" t="s">
        <v>153</v>
      </c>
      <c r="C34" s="8" t="s">
        <v>157</v>
      </c>
      <c r="D34" s="8" t="s">
        <v>158</v>
      </c>
      <c r="E34" s="8" t="s">
        <v>159</v>
      </c>
      <c r="F34" s="8" t="s">
        <v>57</v>
      </c>
      <c r="G34" s="8"/>
      <c r="H34" s="8"/>
    </row>
    <row r="35" customFormat="false" ht="15" hidden="false" customHeight="false" outlineLevel="0" collapsed="false">
      <c r="A35" s="9" t="s">
        <v>160</v>
      </c>
      <c r="B35" s="9" t="s">
        <v>161</v>
      </c>
      <c r="C35" s="9" t="s">
        <v>162</v>
      </c>
      <c r="D35" s="9" t="s">
        <v>163</v>
      </c>
      <c r="E35" s="9" t="s">
        <v>164</v>
      </c>
      <c r="F35" s="9" t="s">
        <v>57</v>
      </c>
      <c r="G35" s="9"/>
      <c r="H35" s="9"/>
    </row>
    <row r="36" customFormat="false" ht="15" hidden="false" customHeight="false" outlineLevel="0" collapsed="false">
      <c r="A36" s="8" t="s">
        <v>160</v>
      </c>
      <c r="B36" s="8" t="s">
        <v>161</v>
      </c>
      <c r="C36" s="8" t="s">
        <v>165</v>
      </c>
      <c r="D36" s="8" t="s">
        <v>166</v>
      </c>
      <c r="E36" s="8" t="s">
        <v>167</v>
      </c>
      <c r="F36" s="8" t="s">
        <v>57</v>
      </c>
      <c r="G36" s="8"/>
      <c r="H36" s="8"/>
    </row>
    <row r="37" customFormat="false" ht="15" hidden="false" customHeight="false" outlineLevel="0" collapsed="false">
      <c r="A37" s="9" t="s">
        <v>160</v>
      </c>
      <c r="B37" s="9" t="s">
        <v>161</v>
      </c>
      <c r="C37" s="9" t="s">
        <v>168</v>
      </c>
      <c r="D37" s="9" t="s">
        <v>169</v>
      </c>
      <c r="E37" s="9" t="s">
        <v>170</v>
      </c>
      <c r="F37" s="9" t="s">
        <v>57</v>
      </c>
      <c r="G37" s="9"/>
      <c r="H37" s="9"/>
    </row>
    <row r="38" customFormat="false" ht="15" hidden="false" customHeight="false" outlineLevel="0" collapsed="false">
      <c r="A38" s="8" t="s">
        <v>160</v>
      </c>
      <c r="B38" s="8" t="s">
        <v>161</v>
      </c>
      <c r="C38" s="8" t="s">
        <v>171</v>
      </c>
      <c r="D38" s="8" t="s">
        <v>172</v>
      </c>
      <c r="E38" s="8" t="s">
        <v>173</v>
      </c>
      <c r="F38" s="8" t="s">
        <v>57</v>
      </c>
      <c r="G38" s="8"/>
      <c r="H38" s="8"/>
    </row>
    <row r="39" customFormat="false" ht="15" hidden="false" customHeight="false" outlineLevel="0" collapsed="false">
      <c r="A39" s="9" t="s">
        <v>160</v>
      </c>
      <c r="B39" s="9" t="s">
        <v>161</v>
      </c>
      <c r="C39" s="9" t="s">
        <v>174</v>
      </c>
      <c r="D39" s="9" t="s">
        <v>175</v>
      </c>
      <c r="E39" s="9" t="s">
        <v>176</v>
      </c>
      <c r="F39" s="9" t="s">
        <v>57</v>
      </c>
      <c r="G39" s="9"/>
      <c r="H39" s="9"/>
    </row>
    <row r="40" customFormat="false" ht="15" hidden="false" customHeight="false" outlineLevel="0" collapsed="false">
      <c r="A40" s="8" t="s">
        <v>160</v>
      </c>
      <c r="B40" s="8" t="s">
        <v>161</v>
      </c>
      <c r="C40" s="8" t="s">
        <v>177</v>
      </c>
      <c r="D40" s="8" t="s">
        <v>178</v>
      </c>
      <c r="E40" s="8" t="s">
        <v>179</v>
      </c>
      <c r="F40" s="8" t="s">
        <v>57</v>
      </c>
      <c r="G40" s="8"/>
      <c r="H40" s="8"/>
    </row>
    <row r="41" customFormat="false" ht="15" hidden="false" customHeight="false" outlineLevel="0" collapsed="false">
      <c r="A41" s="9" t="s">
        <v>180</v>
      </c>
      <c r="B41" s="9" t="s">
        <v>181</v>
      </c>
      <c r="C41" s="9" t="s">
        <v>182</v>
      </c>
      <c r="D41" s="9" t="s">
        <v>183</v>
      </c>
      <c r="E41" s="9" t="s">
        <v>184</v>
      </c>
      <c r="F41" s="9" t="s">
        <v>57</v>
      </c>
      <c r="G41" s="9"/>
      <c r="H41" s="9"/>
    </row>
    <row r="42" customFormat="false" ht="15" hidden="false" customHeight="false" outlineLevel="0" collapsed="false">
      <c r="A42" s="8" t="s">
        <v>180</v>
      </c>
      <c r="B42" s="8" t="s">
        <v>181</v>
      </c>
      <c r="C42" s="8" t="s">
        <v>185</v>
      </c>
      <c r="D42" s="8" t="s">
        <v>186</v>
      </c>
      <c r="E42" s="8" t="s">
        <v>187</v>
      </c>
      <c r="F42" s="8" t="s">
        <v>57</v>
      </c>
      <c r="G42" s="8"/>
      <c r="H42" s="8"/>
    </row>
    <row r="43" customFormat="false" ht="15" hidden="false" customHeight="false" outlineLevel="0" collapsed="false">
      <c r="A43" s="9" t="s">
        <v>180</v>
      </c>
      <c r="B43" s="9" t="s">
        <v>181</v>
      </c>
      <c r="C43" s="9" t="s">
        <v>188</v>
      </c>
      <c r="D43" s="9" t="s">
        <v>189</v>
      </c>
      <c r="E43" s="9" t="s">
        <v>190</v>
      </c>
      <c r="F43" s="9" t="s">
        <v>57</v>
      </c>
      <c r="G43" s="9"/>
      <c r="H43" s="9"/>
    </row>
    <row r="44" customFormat="false" ht="15" hidden="false" customHeight="false" outlineLevel="0" collapsed="false">
      <c r="A44" s="8" t="s">
        <v>180</v>
      </c>
      <c r="B44" s="8" t="s">
        <v>181</v>
      </c>
      <c r="C44" s="8" t="s">
        <v>191</v>
      </c>
      <c r="D44" s="8" t="s">
        <v>178</v>
      </c>
      <c r="E44" s="8" t="s">
        <v>192</v>
      </c>
      <c r="F44" s="8" t="s">
        <v>57</v>
      </c>
      <c r="G44" s="8"/>
      <c r="H44" s="8"/>
    </row>
    <row r="45" customFormat="false" ht="15" hidden="false" customHeight="false" outlineLevel="0" collapsed="false">
      <c r="A45" s="9" t="s">
        <v>180</v>
      </c>
      <c r="B45" s="9" t="s">
        <v>181</v>
      </c>
      <c r="C45" s="9" t="s">
        <v>193</v>
      </c>
      <c r="D45" s="9" t="s">
        <v>194</v>
      </c>
      <c r="E45" s="9" t="s">
        <v>195</v>
      </c>
      <c r="F45" s="9" t="s">
        <v>57</v>
      </c>
      <c r="G45" s="9"/>
      <c r="H45" s="9"/>
    </row>
    <row r="46" customFormat="false" ht="15" hidden="false" customHeight="false" outlineLevel="0" collapsed="false">
      <c r="A46" s="8" t="s">
        <v>196</v>
      </c>
      <c r="B46" s="8" t="s">
        <v>197</v>
      </c>
      <c r="C46" s="8" t="s">
        <v>198</v>
      </c>
      <c r="D46" s="8" t="s">
        <v>199</v>
      </c>
      <c r="E46" s="8" t="s">
        <v>200</v>
      </c>
      <c r="F46" s="8" t="s">
        <v>57</v>
      </c>
      <c r="G46" s="8"/>
      <c r="H46" s="8"/>
    </row>
    <row r="47" customFormat="false" ht="15" hidden="false" customHeight="false" outlineLevel="0" collapsed="false">
      <c r="A47" s="9" t="s">
        <v>196</v>
      </c>
      <c r="B47" s="9" t="s">
        <v>197</v>
      </c>
      <c r="C47" s="9" t="s">
        <v>201</v>
      </c>
      <c r="D47" s="9" t="s">
        <v>202</v>
      </c>
      <c r="E47" s="9" t="s">
        <v>203</v>
      </c>
      <c r="F47" s="9" t="s">
        <v>57</v>
      </c>
      <c r="G47" s="9"/>
      <c r="H47" s="9"/>
    </row>
    <row r="48" customFormat="false" ht="15" hidden="false" customHeight="false" outlineLevel="0" collapsed="false">
      <c r="A48" s="8" t="s">
        <v>196</v>
      </c>
      <c r="B48" s="8" t="s">
        <v>197</v>
      </c>
      <c r="C48" s="8" t="s">
        <v>204</v>
      </c>
      <c r="D48" s="8" t="s">
        <v>205</v>
      </c>
      <c r="E48" s="8" t="s">
        <v>206</v>
      </c>
      <c r="F48" s="8" t="s">
        <v>57</v>
      </c>
      <c r="G48" s="8"/>
      <c r="H48" s="8"/>
    </row>
    <row r="49" customFormat="false" ht="15" hidden="false" customHeight="false" outlineLevel="0" collapsed="false">
      <c r="A49" s="9" t="s">
        <v>196</v>
      </c>
      <c r="B49" s="9" t="s">
        <v>197</v>
      </c>
      <c r="C49" s="9" t="s">
        <v>207</v>
      </c>
      <c r="D49" s="9" t="s">
        <v>208</v>
      </c>
      <c r="E49" s="9" t="s">
        <v>209</v>
      </c>
      <c r="F49" s="9" t="s">
        <v>57</v>
      </c>
      <c r="G49" s="9"/>
      <c r="H49" s="9"/>
    </row>
    <row r="50" customFormat="false" ht="15" hidden="false" customHeight="false" outlineLevel="0" collapsed="false">
      <c r="A50" s="8" t="s">
        <v>196</v>
      </c>
      <c r="B50" s="8" t="s">
        <v>197</v>
      </c>
      <c r="C50" s="8" t="s">
        <v>210</v>
      </c>
      <c r="D50" s="8" t="s">
        <v>211</v>
      </c>
      <c r="E50" s="8" t="s">
        <v>212</v>
      </c>
      <c r="F50" s="8" t="s">
        <v>57</v>
      </c>
      <c r="G50" s="8"/>
      <c r="H50" s="8"/>
    </row>
    <row r="51" customFormat="false" ht="15" hidden="false" customHeight="false" outlineLevel="0" collapsed="false">
      <c r="A51" s="9" t="s">
        <v>213</v>
      </c>
      <c r="B51" s="9" t="s">
        <v>214</v>
      </c>
      <c r="C51" s="9" t="s">
        <v>215</v>
      </c>
      <c r="D51" s="9" t="s">
        <v>216</v>
      </c>
      <c r="E51" s="9" t="s">
        <v>217</v>
      </c>
      <c r="F51" s="9" t="s">
        <v>57</v>
      </c>
      <c r="G51" s="9"/>
      <c r="H51" s="9"/>
    </row>
    <row r="52" customFormat="false" ht="15" hidden="false" customHeight="false" outlineLevel="0" collapsed="false">
      <c r="A52" s="8" t="s">
        <v>213</v>
      </c>
      <c r="B52" s="8" t="s">
        <v>214</v>
      </c>
      <c r="C52" s="8" t="s">
        <v>218</v>
      </c>
      <c r="D52" s="8" t="s">
        <v>219</v>
      </c>
      <c r="E52" s="8" t="s">
        <v>220</v>
      </c>
      <c r="F52" s="8" t="s">
        <v>57</v>
      </c>
      <c r="G52" s="8"/>
      <c r="H52" s="8"/>
    </row>
    <row r="53" customFormat="false" ht="15" hidden="false" customHeight="false" outlineLevel="0" collapsed="false">
      <c r="A53" s="9" t="s">
        <v>213</v>
      </c>
      <c r="B53" s="9" t="s">
        <v>214</v>
      </c>
      <c r="C53" s="9" t="s">
        <v>221</v>
      </c>
      <c r="D53" s="9" t="s">
        <v>222</v>
      </c>
      <c r="E53" s="9" t="s">
        <v>223</v>
      </c>
      <c r="F53" s="9" t="s">
        <v>57</v>
      </c>
      <c r="G53" s="9"/>
      <c r="H53" s="9"/>
    </row>
    <row r="54" customFormat="false" ht="15" hidden="false" customHeight="false" outlineLevel="0" collapsed="false">
      <c r="A54" s="8" t="s">
        <v>213</v>
      </c>
      <c r="B54" s="8" t="s">
        <v>214</v>
      </c>
      <c r="C54" s="8" t="s">
        <v>224</v>
      </c>
      <c r="D54" s="8" t="s">
        <v>225</v>
      </c>
      <c r="E54" s="8" t="s">
        <v>226</v>
      </c>
      <c r="F54" s="8" t="s">
        <v>57</v>
      </c>
      <c r="G54" s="8"/>
      <c r="H54" s="8"/>
    </row>
    <row r="55" customFormat="false" ht="15" hidden="false" customHeight="false" outlineLevel="0" collapsed="false">
      <c r="A55" s="9" t="s">
        <v>213</v>
      </c>
      <c r="B55" s="9" t="s">
        <v>214</v>
      </c>
      <c r="C55" s="9" t="s">
        <v>227</v>
      </c>
      <c r="D55" s="9" t="s">
        <v>135</v>
      </c>
      <c r="E55" s="9" t="s">
        <v>228</v>
      </c>
      <c r="F55" s="9" t="s">
        <v>57</v>
      </c>
      <c r="G55" s="9"/>
      <c r="H55" s="9"/>
    </row>
    <row r="56" customFormat="false" ht="15" hidden="false" customHeight="false" outlineLevel="0" collapsed="false">
      <c r="A56" s="8" t="s">
        <v>229</v>
      </c>
      <c r="B56" s="8" t="s">
        <v>230</v>
      </c>
      <c r="C56" s="8" t="s">
        <v>231</v>
      </c>
      <c r="D56" s="8" t="s">
        <v>232</v>
      </c>
      <c r="E56" s="8" t="s">
        <v>233</v>
      </c>
      <c r="F56" s="8" t="s">
        <v>57</v>
      </c>
      <c r="G56" s="8"/>
      <c r="H56" s="8"/>
    </row>
    <row r="57" customFormat="false" ht="15" hidden="false" customHeight="false" outlineLevel="0" collapsed="false">
      <c r="A57" s="9" t="s">
        <v>229</v>
      </c>
      <c r="B57" s="9" t="s">
        <v>230</v>
      </c>
      <c r="C57" s="9" t="s">
        <v>234</v>
      </c>
      <c r="D57" s="9" t="s">
        <v>235</v>
      </c>
      <c r="E57" s="9" t="s">
        <v>236</v>
      </c>
      <c r="F57" s="9" t="s">
        <v>57</v>
      </c>
      <c r="G57" s="9"/>
      <c r="H57" s="9"/>
    </row>
    <row r="58" customFormat="false" ht="15" hidden="false" customHeight="false" outlineLevel="0" collapsed="false">
      <c r="A58" s="8" t="s">
        <v>229</v>
      </c>
      <c r="B58" s="8" t="s">
        <v>230</v>
      </c>
      <c r="C58" s="8" t="s">
        <v>237</v>
      </c>
      <c r="D58" s="8" t="s">
        <v>238</v>
      </c>
      <c r="E58" s="8" t="s">
        <v>239</v>
      </c>
      <c r="F58" s="8" t="s">
        <v>57</v>
      </c>
      <c r="G58" s="8"/>
      <c r="H58" s="8"/>
    </row>
    <row r="59" customFormat="false" ht="15" hidden="false" customHeight="false" outlineLevel="0" collapsed="false">
      <c r="A59" s="9" t="s">
        <v>229</v>
      </c>
      <c r="B59" s="9" t="s">
        <v>230</v>
      </c>
      <c r="C59" s="9" t="s">
        <v>240</v>
      </c>
      <c r="D59" s="9" t="s">
        <v>241</v>
      </c>
      <c r="E59" s="9" t="s">
        <v>242</v>
      </c>
      <c r="F59" s="9" t="s">
        <v>57</v>
      </c>
      <c r="G59" s="9"/>
      <c r="H59" s="9"/>
    </row>
    <row r="60" customFormat="false" ht="15" hidden="false" customHeight="false" outlineLevel="0" collapsed="false">
      <c r="A60" s="8" t="s">
        <v>229</v>
      </c>
      <c r="B60" s="8" t="s">
        <v>230</v>
      </c>
      <c r="C60" s="8" t="s">
        <v>243</v>
      </c>
      <c r="D60" s="8" t="s">
        <v>244</v>
      </c>
      <c r="E60" s="8" t="s">
        <v>245</v>
      </c>
      <c r="F60" s="8" t="s">
        <v>57</v>
      </c>
      <c r="G60" s="8"/>
      <c r="H60" s="8"/>
    </row>
    <row r="61" customFormat="false" ht="23.85" hidden="false" customHeight="false" outlineLevel="0" collapsed="false">
      <c r="A61" s="9" t="s">
        <v>246</v>
      </c>
      <c r="B61" s="9" t="s">
        <v>247</v>
      </c>
      <c r="C61" s="9" t="s">
        <v>248</v>
      </c>
      <c r="D61" s="9" t="s">
        <v>249</v>
      </c>
      <c r="E61" s="9" t="s">
        <v>250</v>
      </c>
      <c r="F61" s="9" t="s">
        <v>57</v>
      </c>
      <c r="G61" s="9"/>
      <c r="H61" s="9"/>
    </row>
    <row r="62" customFormat="false" ht="23.85" hidden="false" customHeight="false" outlineLevel="0" collapsed="false">
      <c r="A62" s="8" t="s">
        <v>246</v>
      </c>
      <c r="B62" s="8" t="s">
        <v>247</v>
      </c>
      <c r="C62" s="8" t="s">
        <v>251</v>
      </c>
      <c r="D62" s="8" t="s">
        <v>252</v>
      </c>
      <c r="E62" s="8" t="s">
        <v>253</v>
      </c>
      <c r="F62" s="8" t="s">
        <v>57</v>
      </c>
      <c r="G62" s="8"/>
      <c r="H62" s="8"/>
    </row>
    <row r="63" customFormat="false" ht="23.85" hidden="false" customHeight="false" outlineLevel="0" collapsed="false">
      <c r="A63" s="9" t="s">
        <v>246</v>
      </c>
      <c r="B63" s="9" t="s">
        <v>247</v>
      </c>
      <c r="C63" s="9" t="s">
        <v>254</v>
      </c>
      <c r="D63" s="9" t="s">
        <v>255</v>
      </c>
      <c r="E63" s="9" t="s">
        <v>256</v>
      </c>
      <c r="F63" s="9" t="s">
        <v>57</v>
      </c>
      <c r="G63" s="9"/>
      <c r="H63" s="9"/>
    </row>
    <row r="64" customFormat="false" ht="23.85" hidden="false" customHeight="false" outlineLevel="0" collapsed="false">
      <c r="A64" s="8" t="s">
        <v>246</v>
      </c>
      <c r="B64" s="8" t="s">
        <v>247</v>
      </c>
      <c r="C64" s="8" t="s">
        <v>257</v>
      </c>
      <c r="D64" s="8" t="s">
        <v>258</v>
      </c>
      <c r="E64" s="8" t="s">
        <v>259</v>
      </c>
      <c r="F64" s="8" t="s">
        <v>57</v>
      </c>
      <c r="G64" s="8"/>
      <c r="H64" s="8"/>
    </row>
    <row r="65" customFormat="false" ht="23.85" hidden="false" customHeight="false" outlineLevel="0" collapsed="false">
      <c r="A65" s="9" t="s">
        <v>246</v>
      </c>
      <c r="B65" s="9" t="s">
        <v>247</v>
      </c>
      <c r="C65" s="9" t="s">
        <v>260</v>
      </c>
      <c r="D65" s="9" t="s">
        <v>261</v>
      </c>
      <c r="E65" s="9" t="s">
        <v>262</v>
      </c>
      <c r="F65" s="9" t="s">
        <v>57</v>
      </c>
      <c r="G65" s="9"/>
      <c r="H65" s="9"/>
    </row>
    <row r="66" customFormat="false" ht="23.85" hidden="false" customHeight="false" outlineLevel="0" collapsed="false">
      <c r="A66" s="8" t="s">
        <v>246</v>
      </c>
      <c r="B66" s="8" t="s">
        <v>247</v>
      </c>
      <c r="C66" s="8" t="s">
        <v>263</v>
      </c>
      <c r="D66" s="8" t="s">
        <v>264</v>
      </c>
      <c r="E66" s="8" t="s">
        <v>265</v>
      </c>
      <c r="F66" s="8" t="s">
        <v>57</v>
      </c>
      <c r="G66" s="8"/>
      <c r="H66" s="8"/>
    </row>
  </sheetData>
  <autoFilter ref="A1:H1"/>
  <dataValidations count="1">
    <dataValidation allowBlank="true" errorStyle="stop" operator="between" showDropDown="false" showErrorMessage="false" showInputMessage="false" sqref="F2:F66" type="list">
      <formula1>"Not started,Done,Partial,N/A,Not covered"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2"/>
  </cols>
  <sheetData>
    <row r="2" customFormat="false" ht="17.35" hidden="false" customHeight="false" outlineLevel="0" collapsed="false">
      <c r="B2" s="10" t="s">
        <v>266</v>
      </c>
    </row>
    <row r="4" customFormat="false" ht="15" hidden="false" customHeight="false" outlineLevel="0" collapsed="false">
      <c r="B4" s="11" t="s">
        <v>20</v>
      </c>
      <c r="C4" s="11" t="s">
        <v>267</v>
      </c>
    </row>
    <row r="5" customFormat="false" ht="15" hidden="false" customHeight="false" outlineLevel="0" collapsed="false">
      <c r="B5" s="12" t="s">
        <v>268</v>
      </c>
      <c r="C5" s="13" t="n">
        <f aca="false">COUNTIF('Findings Register'!$D$2:$D$500,B5)</f>
        <v>0</v>
      </c>
    </row>
    <row r="6" customFormat="false" ht="15" hidden="false" customHeight="false" outlineLevel="0" collapsed="false">
      <c r="B6" s="14" t="s">
        <v>36</v>
      </c>
      <c r="C6" s="13" t="n">
        <f aca="false">COUNTIF('Findings Register'!$D$2:$D$500,B6)</f>
        <v>1</v>
      </c>
    </row>
    <row r="7" customFormat="false" ht="15" hidden="false" customHeight="false" outlineLevel="0" collapsed="false">
      <c r="B7" s="15" t="s">
        <v>269</v>
      </c>
      <c r="C7" s="13" t="n">
        <f aca="false">COUNTIF('Findings Register'!$D$2:$D$500,B7)</f>
        <v>0</v>
      </c>
    </row>
    <row r="8" customFormat="false" ht="15" hidden="false" customHeight="false" outlineLevel="0" collapsed="false">
      <c r="B8" s="16" t="s">
        <v>270</v>
      </c>
      <c r="C8" s="13" t="n">
        <f aca="false">COUNTIF('Findings Register'!$D$2:$D$500,B8)</f>
        <v>0</v>
      </c>
    </row>
    <row r="9" customFormat="false" ht="15" hidden="false" customHeight="false" outlineLevel="0" collapsed="false">
      <c r="B9" s="17" t="s">
        <v>271</v>
      </c>
      <c r="C9" s="13" t="n">
        <f aca="false">COUNTIF('Findings Register'!$D$2:$D$500,B9)</f>
        <v>0</v>
      </c>
    </row>
    <row r="10" customFormat="false" ht="15" hidden="false" customHeight="false" outlineLevel="0" collapsed="false">
      <c r="B10" s="18" t="s">
        <v>272</v>
      </c>
      <c r="C10" s="18" t="n">
        <f aca="false">SUM(C5:C9)</f>
        <v>1</v>
      </c>
    </row>
    <row r="12" customFormat="false" ht="17.35" hidden="false" customHeight="false" outlineLevel="0" collapsed="false">
      <c r="B12" s="10" t="s">
        <v>273</v>
      </c>
    </row>
    <row r="13" customFormat="false" ht="15" hidden="false" customHeight="false" outlineLevel="0" collapsed="false">
      <c r="B13" s="11" t="s">
        <v>19</v>
      </c>
      <c r="C13" s="11" t="s">
        <v>267</v>
      </c>
    </row>
    <row r="14" customFormat="false" ht="15" hidden="false" customHeight="false" outlineLevel="0" collapsed="false">
      <c r="B14" s="13" t="s">
        <v>35</v>
      </c>
      <c r="C14" s="13" t="n">
        <f aca="false">COUNTIF('Findings Register'!$C$2:$C$500,B14)</f>
        <v>1</v>
      </c>
    </row>
    <row r="15" customFormat="false" ht="15" hidden="false" customHeight="false" outlineLevel="0" collapsed="false">
      <c r="B15" s="13" t="s">
        <v>274</v>
      </c>
      <c r="C15" s="13" t="n">
        <f aca="false">COUNTIF('Findings Register'!$C$2:$C$500,B15)</f>
        <v>0</v>
      </c>
    </row>
    <row r="16" customFormat="false" ht="15" hidden="false" customHeight="false" outlineLevel="0" collapsed="false">
      <c r="B16" s="13" t="s">
        <v>275</v>
      </c>
      <c r="C16" s="13" t="n">
        <f aca="false">COUNTIF('Findings Register'!$C$2:$C$500,B16)</f>
        <v>0</v>
      </c>
    </row>
    <row r="17" customFormat="false" ht="15" hidden="false" customHeight="false" outlineLevel="0" collapsed="false">
      <c r="B17" s="13" t="s">
        <v>276</v>
      </c>
      <c r="C17" s="13" t="n">
        <f aca="false">COUNTIF('Findings Register'!$C$2:$C$500,B17)</f>
        <v>0</v>
      </c>
    </row>
    <row r="18" customFormat="false" ht="15" hidden="false" customHeight="false" outlineLevel="0" collapsed="false">
      <c r="B18" s="13" t="s">
        <v>277</v>
      </c>
      <c r="C18" s="13" t="n">
        <f aca="false">COUNTIF('Findings Register'!$C$2:$C$500,B18)</f>
        <v>0</v>
      </c>
    </row>
    <row r="19" customFormat="false" ht="15" hidden="false" customHeight="false" outlineLevel="0" collapsed="false">
      <c r="B19" s="13" t="s">
        <v>278</v>
      </c>
      <c r="C19" s="13" t="n">
        <f aca="false">COUNTIF('Findings Register'!$C$2:$C$500,B19)</f>
        <v>0</v>
      </c>
    </row>
    <row r="20" customFormat="false" ht="15" hidden="false" customHeight="false" outlineLevel="0" collapsed="false">
      <c r="B20" s="13" t="s">
        <v>279</v>
      </c>
      <c r="C20" s="13" t="n">
        <f aca="false">COUNTIF('Findings Register'!$C$2:$C$500,B20)</f>
        <v>0</v>
      </c>
    </row>
    <row r="22" customFormat="false" ht="15" hidden="false" customHeight="true" outlineLevel="0" collapsed="false">
      <c r="B22" s="19" t="s">
        <v>280</v>
      </c>
      <c r="C22" s="19"/>
      <c r="D22" s="19"/>
      <c r="E22" s="19"/>
      <c r="F22" s="19"/>
    </row>
    <row r="23" customFormat="false" ht="15" hidden="false" customHeight="false" outlineLevel="0" collapsed="false">
      <c r="B23" s="19"/>
      <c r="C23" s="19"/>
      <c r="D23" s="19"/>
      <c r="E23" s="19"/>
      <c r="F23" s="19"/>
    </row>
    <row r="24" customFormat="false" ht="15" hidden="false" customHeight="false" outlineLevel="0" collapsed="false">
      <c r="B24" s="19"/>
      <c r="C24" s="19"/>
      <c r="D24" s="19"/>
      <c r="E24" s="19"/>
      <c r="F24" s="19"/>
    </row>
  </sheetData>
  <mergeCells count="1">
    <mergeCell ref="B22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2026-09-24T15:01:08Z</dcterms:created>
  <dc:creator>openpyxl</dc:creator>
  <dc:description/>
  <dc:language>en-US</dc:language>
  <cp:lastModifiedBy/>
  <dcterms:modified xsi:type="dcterms:W3CDTF">2026-09-24T15:01:08Z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